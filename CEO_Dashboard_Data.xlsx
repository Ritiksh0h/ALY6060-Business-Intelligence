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O Data" sheetId="1" state="visible" r:id="rId3"/>
    <sheet name="Chart Data" sheetId="2" state="visible" r:id="rId4"/>
    <sheet name="Gender &amp; Hi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<sst xmlns="http://schemas.openxmlformats.org/spreadsheetml/2006/main" count="103" uniqueCount="68">
  <si>
    <t xml:space="preserve">Fortune 500 CEO Dataset — Working With Business Partners Assignment</t>
  </si>
  <si>
    <t xml:space="preserve">Source: SEC Proxy Filings, Fortune.com, Company Annual Reports (2024)</t>
  </si>
  <si>
    <t xml:space="preserve">CEO Name</t>
  </si>
  <si>
    <t xml:space="preserve">Company</t>
  </si>
  <si>
    <t xml:space="preserve">Industry</t>
  </si>
  <si>
    <t xml:space="preserve">Gender</t>
  </si>
  <si>
    <t xml:space="preserve">CEO Since</t>
  </si>
  <si>
    <t xml:space="preserve">Tenure (Yrs)</t>
  </si>
  <si>
    <t xml:space="preserve">2024 Comp ($M)</t>
  </si>
  <si>
    <t xml:space="preserve">Hire Type</t>
  </si>
  <si>
    <t xml:space="preserve">2024 Rev Growth (%)</t>
  </si>
  <si>
    <t xml:space="preserve">CEO-to-Worker Ratio</t>
  </si>
  <si>
    <t xml:space="preserve">Notes</t>
  </si>
  <si>
    <t xml:space="preserve">Mary Barra</t>
  </si>
  <si>
    <t xml:space="preserve">General Motors</t>
  </si>
  <si>
    <t xml:space="preserve">Automotive</t>
  </si>
  <si>
    <t xml:space="preserve">F</t>
  </si>
  <si>
    <t xml:space="preserve">Internal</t>
  </si>
  <si>
    <t xml:space="preserve">310:1</t>
  </si>
  <si>
    <t xml:space="preserve">Highest paid Detroit 3 CEO; internal hire since 1980</t>
  </si>
  <si>
    <t xml:space="preserve">Andy Jassy</t>
  </si>
  <si>
    <t xml:space="preserve">Amazon</t>
  </si>
  <si>
    <t xml:space="preserve">Technology</t>
  </si>
  <si>
    <t xml:space="preserve">M</t>
  </si>
  <si>
    <t xml:space="preserve">43:1</t>
  </si>
  <si>
    <t xml:space="preserve">Succeeded Jeff Bezos; former AWS CEO; comp driven by vested stock</t>
  </si>
  <si>
    <t xml:space="preserve">Brian Moynihan</t>
  </si>
  <si>
    <t xml:space="preserve">Bank of America</t>
  </si>
  <si>
    <t xml:space="preserve">Finance</t>
  </si>
  <si>
    <t xml:space="preserve">N/A</t>
  </si>
  <si>
    <t xml:space="preserve">Longest tenured in dataset; 21% pay increase in 2024</t>
  </si>
  <si>
    <t xml:space="preserve">Satya Nadella</t>
  </si>
  <si>
    <t xml:space="preserve">Microsoft</t>
  </si>
  <si>
    <t xml:space="preserve">408:1</t>
  </si>
  <si>
    <t xml:space="preserve">Highest comp in dataset; 63% increase driven by AI-era stock awards</t>
  </si>
  <si>
    <t xml:space="preserve">Sundar Pichai</t>
  </si>
  <si>
    <t xml:space="preserve">Alphabet</t>
  </si>
  <si>
    <t xml:space="preserve">Non-grant year; 2022 total was $226M (triennial stock cycle)</t>
  </si>
  <si>
    <t xml:space="preserve">Gail Boudreaux</t>
  </si>
  <si>
    <t xml:space="preserve">Elevance Health</t>
  </si>
  <si>
    <t xml:space="preserve">Healthcare</t>
  </si>
  <si>
    <t xml:space="preserve">External</t>
  </si>
  <si>
    <t xml:space="preserve">External hire; Medicaid pressures drove negative performance in 2024</t>
  </si>
  <si>
    <t xml:space="preserve">David Ricks</t>
  </si>
  <si>
    <t xml:space="preserve">Eli Lilly</t>
  </si>
  <si>
    <t xml:space="preserve">Pharma</t>
  </si>
  <si>
    <t xml:space="preserve">Highest rev growth in dataset; Ozempic/GLP-1 era; mkt cap ~$781B</t>
  </si>
  <si>
    <t xml:space="preserve">Doug McMillon</t>
  </si>
  <si>
    <t xml:space="preserve">Walmart</t>
  </si>
  <si>
    <t xml:space="preserve">Retail</t>
  </si>
  <si>
    <t xml:space="preserve">930:1</t>
  </si>
  <si>
    <t xml:space="preserve">Highest CEO-to-worker ratio in dataset; 30+ yr Walmart career</t>
  </si>
  <si>
    <t xml:space="preserve">Thasunda Duckett</t>
  </si>
  <si>
    <t xml:space="preserve">TIAA</t>
  </si>
  <si>
    <t xml:space="preserve">Est. comp; TIAA is private — no public disclosure; external hire</t>
  </si>
  <si>
    <t xml:space="preserve">Karen Lynch</t>
  </si>
  <si>
    <t xml:space="preserve">CVS Health</t>
  </si>
  <si>
    <t xml:space="preserve">Removed Oct 2024; shortest tenure; external hire; Medicare Advantage failure</t>
  </si>
  <si>
    <t xml:space="preserve">SUMMARY STATISTICS</t>
  </si>
  <si>
    <t xml:space="preserve">Gender Breakdown</t>
  </si>
  <si>
    <t xml:space="preserve">Hire Type Breakdown</t>
  </si>
  <si>
    <t xml:space="preserve">* Estimates: TIAA (private co.) and Karen Lynch (removed mid-year) comp figures are approximate. All other figures from SEC proxy filings.</t>
  </si>
  <si>
    <t xml:space="preserve">** Revenue growth % for TIAA listed as 0 — private company, no public comparable figure available.</t>
  </si>
  <si>
    <t xml:space="preserve">Rev Growth (%)</t>
  </si>
  <si>
    <t xml:space="preserve">Count</t>
  </si>
  <si>
    <t xml:space="preserve">Avg Rev Growth (%)</t>
  </si>
  <si>
    <t xml:space="preserve">Female</t>
  </si>
  <si>
    <t xml:space="preserve">Male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</si>
</sst>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\$#,##0.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EEF2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9F9F9"/>
      <rgbColor rgb="FFEE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2024 CEO Total Compensation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2024 Comp ($M)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Data'!$A$2:$A$11</c:f>
              <c:strCache>
                <c:ptCount val="10"/>
                <c:pt idx="0">
                  <c:v>Mary Barra</c:v>
                </c:pt>
                <c:pt idx="1">
                  <c:v>Andy Jassy</c:v>
                </c:pt>
                <c:pt idx="2">
                  <c:v>Brian Moynihan</c:v>
                </c:pt>
                <c:pt idx="3">
                  <c:v>Satya Nadella</c:v>
                </c:pt>
                <c:pt idx="4">
                  <c:v>Sundar Pichai</c:v>
                </c:pt>
                <c:pt idx="5">
                  <c:v>Gail Boudreaux</c:v>
                </c:pt>
                <c:pt idx="6">
                  <c:v>David Ricks</c:v>
                </c:pt>
                <c:pt idx="7">
                  <c:v>Doug McMillon</c:v>
                </c:pt>
                <c:pt idx="8">
                  <c:v>Thasunda Duckett</c:v>
                </c:pt>
                <c:pt idx="9">
                  <c:v>Karen Lynch</c:v>
                </c:pt>
              </c:strCache>
            </c:strRef>
          </c:cat>
          <c:val>
            <c:numRef>
              <c:f>'Chart Data'!$B$2:$B$11</c:f>
              <c:numCache>
                <c:formatCode>General</c:formatCode>
                <c:ptCount val="10"/>
                <c:pt idx="0">
                  <c:v>29.5</c:v>
                </c:pt>
                <c:pt idx="1">
                  <c:v>40.1</c:v>
                </c:pt>
                <c:pt idx="2">
                  <c:v>35</c:v>
                </c:pt>
                <c:pt idx="3">
                  <c:v>79.1</c:v>
                </c:pt>
                <c:pt idx="4">
                  <c:v>10.7</c:v>
                </c:pt>
                <c:pt idx="5">
                  <c:v>20.5</c:v>
                </c:pt>
                <c:pt idx="6">
                  <c:v>29.2</c:v>
                </c:pt>
                <c:pt idx="7">
                  <c:v>27.4</c:v>
                </c:pt>
                <c:pt idx="8">
                  <c:v>18</c:v>
                </c:pt>
                <c:pt idx="9">
                  <c:v>12</c:v>
                </c:pt>
              </c:numCache>
            </c:numRef>
          </c:val>
        </c:ser>
        <c:gapWidth val="150"/>
        <c:overlap val="0"/>
        <c:axId val="64728158"/>
        <c:axId val="27848510"/>
      </c:barChart>
      <c:catAx>
        <c:axId val="647281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48510"/>
        <c:crosses val="autoZero"/>
        <c:auto val="1"/>
        <c:lblAlgn val="ctr"/>
        <c:lblOffset val="100"/>
        <c:noMultiLvlLbl val="0"/>
      </c:catAx>
      <c:valAx>
        <c:axId val="27848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Compensation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28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CEO Tenure (Yrs) vs. Revenue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"CEO"</c:f>
              <c:strCache>
                <c:ptCount val="1"/>
                <c:pt idx="0">
                  <c:v>CEO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Data'!$C$2:$C$11</c:f>
              <c:numCache>
                <c:formatCode>General</c:formatCode>
                <c:ptCount val="10"/>
                <c:pt idx="0">
                  <c:v>11</c:v>
                </c:pt>
                <c:pt idx="1">
                  <c:v>4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</c:numCache>
            </c:numRef>
          </c:xVal>
          <c:yVal>
            <c:numRef>
              <c:f>'Chart Data'!$D$2:$D$11</c:f>
              <c:numCache>
                <c:formatCode>General</c:formatCode>
                <c:ptCount val="10"/>
                <c:pt idx="0">
                  <c:v>-3</c:v>
                </c:pt>
                <c:pt idx="1">
                  <c:v>11</c:v>
                </c:pt>
                <c:pt idx="2">
                  <c:v>2</c:v>
                </c:pt>
                <c:pt idx="3">
                  <c:v>16</c:v>
                </c:pt>
                <c:pt idx="4">
                  <c:v>14</c:v>
                </c:pt>
                <c:pt idx="5">
                  <c:v>-4</c:v>
                </c:pt>
                <c:pt idx="6">
                  <c:v>32</c:v>
                </c:pt>
                <c:pt idx="7">
                  <c:v>6</c:v>
                </c:pt>
                <c:pt idx="8">
                  <c:v>0</c:v>
                </c:pt>
                <c:pt idx="9">
                  <c:v>-5</c:v>
                </c:pt>
              </c:numCache>
            </c:numRef>
          </c:yVal>
          <c:smooth val="1"/>
        </c:ser>
        <c:axId val="80621825"/>
        <c:axId val="45765285"/>
      </c:scatterChart>
      <c:valAx>
        <c:axId val="806218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Tenure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65285"/>
        <c:crosses val="autoZero"/>
        <c:crossBetween val="midCat"/>
      </c:valAx>
      <c:valAx>
        <c:axId val="45765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2024 Revenue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218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 of CEOs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'Gender &amp; Hire'!B1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&amp; Hire'!$A$2:$A$3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&amp; Hire'!$B$2:$B$3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</c:ser>
        <c:gapWidth val="150"/>
        <c:overlap val="0"/>
        <c:axId val="8305754"/>
        <c:axId val="30683337"/>
      </c:barChart>
      <c:catAx>
        <c:axId val="83057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83337"/>
        <c:crosses val="autoZero"/>
        <c:auto val="1"/>
        <c:lblAlgn val="ctr"/>
        <c:lblOffset val="100"/>
        <c:noMultiLvlLbl val="0"/>
      </c:catAx>
      <c:valAx>
        <c:axId val="30683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CEOs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57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Revenue Growth: Internal vs. External Hire CEOs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'Gender &amp; Hire'!F1</c:f>
              <c:strCache>
                <c:ptCount val="1"/>
                <c:pt idx="0">
                  <c:v>Avg Rev Growth (%)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&amp; Hire'!$D$2:$D$3</c:f>
              <c:strCache>
                <c:ptCount val="2"/>
                <c:pt idx="0">
                  <c:v>Internal</c:v>
                </c:pt>
                <c:pt idx="1">
                  <c:v>External</c:v>
                </c:pt>
              </c:strCache>
            </c:strRef>
          </c:cat>
          <c:val>
            <c:numRef>
              <c:f>'Gender &amp; Hire'!$F$2:$F$3</c:f>
              <c:numCache>
                <c:formatCode>General</c:formatCode>
                <c:ptCount val="2"/>
                <c:pt idx="0">
                  <c:v>11.1428571428571</c:v>
                </c:pt>
                <c:pt idx="1">
                  <c:v>-3</c:v>
                </c:pt>
              </c:numCache>
            </c:numRef>
          </c:val>
        </c:ser>
        <c:gapWidth val="150"/>
        <c:overlap val="0"/>
        <c:axId val="34559557"/>
        <c:axId val="34228318"/>
      </c:barChart>
      <c:catAx>
        <c:axId val="34559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Hire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28318"/>
        <c:crosses val="autoZero"/>
        <c:auto val="1"/>
        <c:lblAlgn val="ctr"/>
        <c:lblOffset val="100"/>
        <c:noMultiLvlLbl val="0"/>
      </c:catAx>
      <c:valAx>
        <c:axId val="34228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Rev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595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19</xdr:col>
      <xdr:colOff>581400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8223840" y="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19</xdr:col>
      <xdr:colOff>581400</xdr:colOff>
      <xdr:row>51</xdr:row>
      <xdr:rowOff>86400</xdr:rowOff>
    </xdr:to>
    <xdr:graphicFrame>
      <xdr:nvGraphicFramePr>
        <xdr:cNvPr id="1" name="Chart 2"/>
        <xdr:cNvGraphicFramePr/>
      </xdr:nvGraphicFramePr>
      <xdr:xfrm>
        <a:off x="8223840" y="4762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5</xdr:col>
      <xdr:colOff>73080</xdr:colOff>
      <xdr:row>27</xdr:row>
      <xdr:rowOff>128520</xdr:rowOff>
    </xdr:to>
    <xdr:graphicFrame>
      <xdr:nvGraphicFramePr>
        <xdr:cNvPr id="2" name="Chart 1"/>
        <xdr:cNvGraphicFramePr/>
      </xdr:nvGraphicFramePr>
      <xdr:xfrm>
        <a:off x="0" y="952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19</xdr:col>
      <xdr:colOff>255960</xdr:colOff>
      <xdr:row>27</xdr:row>
      <xdr:rowOff>128520</xdr:rowOff>
    </xdr:to>
    <xdr:graphicFrame>
      <xdr:nvGraphicFramePr>
        <xdr:cNvPr id="3" name="Chart 2"/>
        <xdr:cNvGraphicFramePr/>
      </xdr:nvGraphicFramePr>
      <xdr:xfrm>
        <a:off x="9401040" y="952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9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n">
        <v>2014</v>
      </c>
      <c r="F5" s="4" t="n">
        <v>11</v>
      </c>
      <c r="G5" s="4" t="n">
        <v>29.5</v>
      </c>
      <c r="H5" s="4" t="s">
        <v>17</v>
      </c>
      <c r="I5" s="4" t="n">
        <v>-3</v>
      </c>
      <c r="J5" s="4" t="s">
        <v>18</v>
      </c>
      <c r="K5" s="4" t="s">
        <v>19</v>
      </c>
    </row>
    <row r="6" customFormat="false" ht="19.5" hidden="false" customHeight="tru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n">
        <v>2021</v>
      </c>
      <c r="F6" s="5" t="n">
        <v>4</v>
      </c>
      <c r="G6" s="5" t="n">
        <v>40.1</v>
      </c>
      <c r="H6" s="5" t="s">
        <v>17</v>
      </c>
      <c r="I6" s="5" t="n">
        <v>11</v>
      </c>
      <c r="J6" s="5" t="s">
        <v>24</v>
      </c>
      <c r="K6" s="5" t="s">
        <v>25</v>
      </c>
    </row>
    <row r="7" customFormat="false" ht="19.5" hidden="false" customHeight="true" outlineLevel="0" collapsed="false">
      <c r="A7" s="4" t="s">
        <v>26</v>
      </c>
      <c r="B7" s="4" t="s">
        <v>27</v>
      </c>
      <c r="C7" s="4" t="s">
        <v>28</v>
      </c>
      <c r="D7" s="4" t="s">
        <v>23</v>
      </c>
      <c r="E7" s="4" t="n">
        <v>2010</v>
      </c>
      <c r="F7" s="4" t="n">
        <v>15</v>
      </c>
      <c r="G7" s="4" t="n">
        <v>35</v>
      </c>
      <c r="H7" s="4" t="s">
        <v>17</v>
      </c>
      <c r="I7" s="4" t="n">
        <v>2</v>
      </c>
      <c r="J7" s="4" t="s">
        <v>29</v>
      </c>
      <c r="K7" s="4" t="s">
        <v>30</v>
      </c>
    </row>
    <row r="8" customFormat="false" ht="19.5" hidden="false" customHeight="true" outlineLevel="0" collapsed="false">
      <c r="A8" s="5" t="s">
        <v>31</v>
      </c>
      <c r="B8" s="5" t="s">
        <v>32</v>
      </c>
      <c r="C8" s="5" t="s">
        <v>22</v>
      </c>
      <c r="D8" s="5" t="s">
        <v>23</v>
      </c>
      <c r="E8" s="5" t="n">
        <v>2014</v>
      </c>
      <c r="F8" s="5" t="n">
        <v>11</v>
      </c>
      <c r="G8" s="5" t="n">
        <v>79.1</v>
      </c>
      <c r="H8" s="5" t="s">
        <v>17</v>
      </c>
      <c r="I8" s="5" t="n">
        <v>16</v>
      </c>
      <c r="J8" s="5" t="s">
        <v>33</v>
      </c>
      <c r="K8" s="5" t="s">
        <v>34</v>
      </c>
    </row>
    <row r="9" customFormat="false" ht="19.5" hidden="false" customHeight="true" outlineLevel="0" collapsed="false">
      <c r="A9" s="4" t="s">
        <v>35</v>
      </c>
      <c r="B9" s="4" t="s">
        <v>36</v>
      </c>
      <c r="C9" s="4" t="s">
        <v>22</v>
      </c>
      <c r="D9" s="4" t="s">
        <v>23</v>
      </c>
      <c r="E9" s="4" t="n">
        <v>2015</v>
      </c>
      <c r="F9" s="4" t="n">
        <v>10</v>
      </c>
      <c r="G9" s="4" t="n">
        <v>10.7</v>
      </c>
      <c r="H9" s="4" t="s">
        <v>17</v>
      </c>
      <c r="I9" s="4" t="n">
        <v>14</v>
      </c>
      <c r="J9" s="4" t="s">
        <v>29</v>
      </c>
      <c r="K9" s="4" t="s">
        <v>37</v>
      </c>
    </row>
    <row r="10" customFormat="false" ht="19.5" hidden="false" customHeight="true" outlineLevel="0" collapsed="false">
      <c r="A10" s="5" t="s">
        <v>38</v>
      </c>
      <c r="B10" s="5" t="s">
        <v>39</v>
      </c>
      <c r="C10" s="5" t="s">
        <v>40</v>
      </c>
      <c r="D10" s="5" t="s">
        <v>16</v>
      </c>
      <c r="E10" s="5" t="n">
        <v>2017</v>
      </c>
      <c r="F10" s="5" t="n">
        <v>7</v>
      </c>
      <c r="G10" s="5" t="n">
        <v>20.5</v>
      </c>
      <c r="H10" s="5" t="s">
        <v>41</v>
      </c>
      <c r="I10" s="5" t="n">
        <v>-4</v>
      </c>
      <c r="J10" s="5" t="s">
        <v>29</v>
      </c>
      <c r="K10" s="5" t="s">
        <v>42</v>
      </c>
    </row>
    <row r="11" customFormat="false" ht="19.5" hidden="false" customHeight="true" outlineLevel="0" collapsed="false">
      <c r="A11" s="4" t="s">
        <v>43</v>
      </c>
      <c r="B11" s="4" t="s">
        <v>44</v>
      </c>
      <c r="C11" s="4" t="s">
        <v>45</v>
      </c>
      <c r="D11" s="4" t="s">
        <v>23</v>
      </c>
      <c r="E11" s="4" t="n">
        <v>2017</v>
      </c>
      <c r="F11" s="4" t="n">
        <v>8</v>
      </c>
      <c r="G11" s="4" t="n">
        <v>29.2</v>
      </c>
      <c r="H11" s="4" t="s">
        <v>17</v>
      </c>
      <c r="I11" s="4" t="n">
        <v>32</v>
      </c>
      <c r="J11" s="4" t="s">
        <v>29</v>
      </c>
      <c r="K11" s="4" t="s">
        <v>46</v>
      </c>
    </row>
    <row r="12" customFormat="false" ht="19.5" hidden="false" customHeight="true" outlineLevel="0" collapsed="false">
      <c r="A12" s="5" t="s">
        <v>47</v>
      </c>
      <c r="B12" s="5" t="s">
        <v>48</v>
      </c>
      <c r="C12" s="5" t="s">
        <v>49</v>
      </c>
      <c r="D12" s="5" t="s">
        <v>23</v>
      </c>
      <c r="E12" s="5" t="n">
        <v>2014</v>
      </c>
      <c r="F12" s="5" t="n">
        <v>11</v>
      </c>
      <c r="G12" s="5" t="n">
        <v>27.4</v>
      </c>
      <c r="H12" s="5" t="s">
        <v>17</v>
      </c>
      <c r="I12" s="5" t="n">
        <v>6</v>
      </c>
      <c r="J12" s="5" t="s">
        <v>50</v>
      </c>
      <c r="K12" s="5" t="s">
        <v>51</v>
      </c>
    </row>
    <row r="13" customFormat="false" ht="19.5" hidden="false" customHeight="true" outlineLevel="0" collapsed="false">
      <c r="A13" s="4" t="s">
        <v>52</v>
      </c>
      <c r="B13" s="4" t="s">
        <v>53</v>
      </c>
      <c r="C13" s="4" t="s">
        <v>28</v>
      </c>
      <c r="D13" s="4" t="s">
        <v>16</v>
      </c>
      <c r="E13" s="4" t="n">
        <v>2021</v>
      </c>
      <c r="F13" s="4" t="n">
        <v>4</v>
      </c>
      <c r="G13" s="4" t="n">
        <v>18</v>
      </c>
      <c r="H13" s="4" t="s">
        <v>41</v>
      </c>
      <c r="I13" s="4" t="n">
        <v>0</v>
      </c>
      <c r="J13" s="4" t="s">
        <v>29</v>
      </c>
      <c r="K13" s="4" t="s">
        <v>54</v>
      </c>
    </row>
    <row r="14" customFormat="false" ht="19.5" hidden="false" customHeight="true" outlineLevel="0" collapsed="false">
      <c r="A14" s="5" t="s">
        <v>55</v>
      </c>
      <c r="B14" s="5" t="s">
        <v>56</v>
      </c>
      <c r="C14" s="5" t="s">
        <v>40</v>
      </c>
      <c r="D14" s="5" t="s">
        <v>16</v>
      </c>
      <c r="E14" s="5" t="n">
        <v>2021</v>
      </c>
      <c r="F14" s="5" t="n">
        <v>3</v>
      </c>
      <c r="G14" s="5" t="n">
        <v>12</v>
      </c>
      <c r="H14" s="5" t="s">
        <v>41</v>
      </c>
      <c r="I14" s="5" t="n">
        <v>-5</v>
      </c>
      <c r="J14" s="5" t="s">
        <v>29</v>
      </c>
      <c r="K14" s="5" t="s">
        <v>57</v>
      </c>
    </row>
    <row r="15" customFormat="false" ht="15" hidden="false" customHeight="true" outlineLevel="0" collapsed="false">
      <c r="A15" s="6" t="s">
        <v>58</v>
      </c>
      <c r="B15" s="6"/>
      <c r="C15" s="6"/>
      <c r="D15" s="6"/>
      <c r="E15" s="7" t="n">
        <f aca="false">COUNTA(E5:E14)</f>
        <v>10</v>
      </c>
      <c r="F15" s="8" t="n">
        <f aca="false">AVERAGE(F5:F14)</f>
        <v>8.4</v>
      </c>
      <c r="G15" s="9" t="n">
        <f aca="false">AVERAGE(G5:G14)</f>
        <v>30.15</v>
      </c>
      <c r="I15" s="10" t="n">
        <f aca="false">AVERAGEIF(I5:I14,"&lt;&gt;0",I5:I14)</f>
        <v>7.66666666666667</v>
      </c>
    </row>
    <row r="17" customFormat="false" ht="15" hidden="false" customHeight="false" outlineLevel="0" collapsed="false">
      <c r="A17" s="11" t="s">
        <v>59</v>
      </c>
      <c r="B17" s="12" t="str">
        <f aca="false">COUNTIF(D5:D14,"F") &amp; " Female / " &amp; COUNTIF(D5:D14,"M") &amp; " Male"</f>
        <v>4 Female / 6 Male</v>
      </c>
    </row>
    <row r="18" customFormat="false" ht="15" hidden="false" customHeight="false" outlineLevel="0" collapsed="false">
      <c r="A18" s="11" t="s">
        <v>60</v>
      </c>
      <c r="B18" s="12" t="str">
        <f aca="false">COUNTIF(H5:H14,"Internal") &amp; " Internal / " &amp; COUNTIF(H5:H14,"External") &amp; " External"</f>
        <v>7 Internal / 3 External</v>
      </c>
    </row>
    <row r="20" customFormat="false" ht="15" hidden="false" customHeight="false" outlineLevel="0" collapsed="false">
      <c r="A20" s="13" t="s">
        <v>61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3" t="s">
        <v>62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</sheetData>
  <mergeCells count="5">
    <mergeCell ref="A1:K1"/>
    <mergeCell ref="A2:K2"/>
    <mergeCell ref="A15:D15"/>
    <mergeCell ref="A20:K20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14" t="s">
        <v>2</v>
      </c>
      <c r="B1" s="14" t="s">
        <v>8</v>
      </c>
      <c r="C1" s="14" t="s">
        <v>7</v>
      </c>
      <c r="D1" s="14" t="s">
        <v>63</v>
      </c>
      <c r="E1" s="14" t="s">
        <v>5</v>
      </c>
      <c r="F1" s="14" t="s">
        <v>9</v>
      </c>
    </row>
    <row r="2" customFormat="false" ht="15" hidden="false" customHeight="false" outlineLevel="0" collapsed="false">
      <c r="A2" s="0" t="str">
        <f aca="false">'CEO Data'!A5</f>
        <v>Mary Barra</v>
      </c>
      <c r="B2" s="0" t="n">
        <f aca="false">'CEO Data'!G5</f>
        <v>29.5</v>
      </c>
      <c r="C2" s="0" t="n">
        <f aca="false">'CEO Data'!F5</f>
        <v>11</v>
      </c>
      <c r="D2" s="0" t="n">
        <f aca="false">'CEO Data'!I5</f>
        <v>-3</v>
      </c>
      <c r="E2" s="0" t="str">
        <f aca="false">'CEO Data'!D5</f>
        <v>F</v>
      </c>
      <c r="F2" s="0" t="str">
        <f aca="false">'CEO Data'!H5</f>
        <v>Internal</v>
      </c>
    </row>
    <row r="3" customFormat="false" ht="15" hidden="false" customHeight="false" outlineLevel="0" collapsed="false">
      <c r="A3" s="0" t="str">
        <f aca="false">'CEO Data'!A6</f>
        <v>Andy Jassy</v>
      </c>
      <c r="B3" s="0" t="n">
        <f aca="false">'CEO Data'!G6</f>
        <v>40.1</v>
      </c>
      <c r="C3" s="0" t="n">
        <f aca="false">'CEO Data'!F6</f>
        <v>4</v>
      </c>
      <c r="D3" s="0" t="n">
        <f aca="false">'CEO Data'!I6</f>
        <v>11</v>
      </c>
      <c r="E3" s="0" t="str">
        <f aca="false">'CEO Data'!D6</f>
        <v>M</v>
      </c>
      <c r="F3" s="0" t="str">
        <f aca="false">'CEO Data'!H6</f>
        <v>Internal</v>
      </c>
    </row>
    <row r="4" customFormat="false" ht="15" hidden="false" customHeight="false" outlineLevel="0" collapsed="false">
      <c r="A4" s="0" t="str">
        <f aca="false">'CEO Data'!A7</f>
        <v>Brian Moynihan</v>
      </c>
      <c r="B4" s="0" t="n">
        <f aca="false">'CEO Data'!G7</f>
        <v>35</v>
      </c>
      <c r="C4" s="0" t="n">
        <f aca="false">'CEO Data'!F7</f>
        <v>15</v>
      </c>
      <c r="D4" s="0" t="n">
        <f aca="false">'CEO Data'!I7</f>
        <v>2</v>
      </c>
      <c r="E4" s="0" t="str">
        <f aca="false">'CEO Data'!D7</f>
        <v>M</v>
      </c>
      <c r="F4" s="0" t="str">
        <f aca="false">'CEO Data'!H7</f>
        <v>Internal</v>
      </c>
    </row>
    <row r="5" customFormat="false" ht="15" hidden="false" customHeight="false" outlineLevel="0" collapsed="false">
      <c r="A5" s="0" t="str">
        <f aca="false">'CEO Data'!A8</f>
        <v>Satya Nadella</v>
      </c>
      <c r="B5" s="0" t="n">
        <f aca="false">'CEO Data'!G8</f>
        <v>79.1</v>
      </c>
      <c r="C5" s="0" t="n">
        <f aca="false">'CEO Data'!F8</f>
        <v>11</v>
      </c>
      <c r="D5" s="0" t="n">
        <f aca="false">'CEO Data'!I8</f>
        <v>16</v>
      </c>
      <c r="E5" s="0" t="str">
        <f aca="false">'CEO Data'!D8</f>
        <v>M</v>
      </c>
      <c r="F5" s="0" t="str">
        <f aca="false">'CEO Data'!H8</f>
        <v>Internal</v>
      </c>
    </row>
    <row r="6" customFormat="false" ht="15" hidden="false" customHeight="false" outlineLevel="0" collapsed="false">
      <c r="A6" s="0" t="str">
        <f aca="false">'CEO Data'!A9</f>
        <v>Sundar Pichai</v>
      </c>
      <c r="B6" s="0" t="n">
        <f aca="false">'CEO Data'!G9</f>
        <v>10.7</v>
      </c>
      <c r="C6" s="0" t="n">
        <f aca="false">'CEO Data'!F9</f>
        <v>10</v>
      </c>
      <c r="D6" s="0" t="n">
        <f aca="false">'CEO Data'!I9</f>
        <v>14</v>
      </c>
      <c r="E6" s="0" t="str">
        <f aca="false">'CEO Data'!D9</f>
        <v>M</v>
      </c>
      <c r="F6" s="0" t="str">
        <f aca="false">'CEO Data'!H9</f>
        <v>Internal</v>
      </c>
    </row>
    <row r="7" customFormat="false" ht="15" hidden="false" customHeight="false" outlineLevel="0" collapsed="false">
      <c r="A7" s="0" t="str">
        <f aca="false">'CEO Data'!A10</f>
        <v>Gail Boudreaux</v>
      </c>
      <c r="B7" s="0" t="n">
        <f aca="false">'CEO Data'!G10</f>
        <v>20.5</v>
      </c>
      <c r="C7" s="0" t="n">
        <f aca="false">'CEO Data'!F10</f>
        <v>7</v>
      </c>
      <c r="D7" s="0" t="n">
        <f aca="false">'CEO Data'!I10</f>
        <v>-4</v>
      </c>
      <c r="E7" s="0" t="str">
        <f aca="false">'CEO Data'!D10</f>
        <v>F</v>
      </c>
      <c r="F7" s="0" t="str">
        <f aca="false">'CEO Data'!H10</f>
        <v>External</v>
      </c>
    </row>
    <row r="8" customFormat="false" ht="15" hidden="false" customHeight="false" outlineLevel="0" collapsed="false">
      <c r="A8" s="0" t="str">
        <f aca="false">'CEO Data'!A11</f>
        <v>David Ricks</v>
      </c>
      <c r="B8" s="0" t="n">
        <f aca="false">'CEO Data'!G11</f>
        <v>29.2</v>
      </c>
      <c r="C8" s="0" t="n">
        <f aca="false">'CEO Data'!F11</f>
        <v>8</v>
      </c>
      <c r="D8" s="0" t="n">
        <f aca="false">'CEO Data'!I11</f>
        <v>32</v>
      </c>
      <c r="E8" s="0" t="str">
        <f aca="false">'CEO Data'!D11</f>
        <v>M</v>
      </c>
      <c r="F8" s="0" t="str">
        <f aca="false">'CEO Data'!H11</f>
        <v>Internal</v>
      </c>
    </row>
    <row r="9" customFormat="false" ht="15" hidden="false" customHeight="false" outlineLevel="0" collapsed="false">
      <c r="A9" s="0" t="str">
        <f aca="false">'CEO Data'!A12</f>
        <v>Doug McMillon</v>
      </c>
      <c r="B9" s="0" t="n">
        <f aca="false">'CEO Data'!G12</f>
        <v>27.4</v>
      </c>
      <c r="C9" s="0" t="n">
        <f aca="false">'CEO Data'!F12</f>
        <v>11</v>
      </c>
      <c r="D9" s="0" t="n">
        <f aca="false">'CEO Data'!I12</f>
        <v>6</v>
      </c>
      <c r="E9" s="0" t="str">
        <f aca="false">'CEO Data'!D12</f>
        <v>M</v>
      </c>
      <c r="F9" s="0" t="str">
        <f aca="false">'CEO Data'!H12</f>
        <v>Internal</v>
      </c>
    </row>
    <row r="10" customFormat="false" ht="15" hidden="false" customHeight="false" outlineLevel="0" collapsed="false">
      <c r="A10" s="0" t="str">
        <f aca="false">'CEO Data'!A13</f>
        <v>Thasunda Duckett</v>
      </c>
      <c r="B10" s="0" t="n">
        <f aca="false">'CEO Data'!G13</f>
        <v>18</v>
      </c>
      <c r="C10" s="0" t="n">
        <f aca="false">'CEO Data'!F13</f>
        <v>4</v>
      </c>
      <c r="D10" s="0" t="n">
        <f aca="false">'CEO Data'!I13</f>
        <v>0</v>
      </c>
      <c r="E10" s="0" t="str">
        <f aca="false">'CEO Data'!D13</f>
        <v>F</v>
      </c>
      <c r="F10" s="0" t="str">
        <f aca="false">'CEO Data'!H13</f>
        <v>External</v>
      </c>
    </row>
    <row r="11" customFormat="false" ht="15" hidden="false" customHeight="false" outlineLevel="0" collapsed="false">
      <c r="A11" s="0" t="str">
        <f aca="false">'CEO Data'!A14</f>
        <v>Karen Lynch</v>
      </c>
      <c r="B11" s="0" t="n">
        <f aca="false">'CEO Data'!G14</f>
        <v>12</v>
      </c>
      <c r="C11" s="0" t="n">
        <f aca="false">'CEO Data'!F14</f>
        <v>3</v>
      </c>
      <c r="D11" s="0" t="n">
        <f aca="false">'CEO Data'!I14</f>
        <v>-5</v>
      </c>
      <c r="E11" s="0" t="str">
        <f aca="false">'CEO Data'!D14</f>
        <v>F</v>
      </c>
      <c r="F11" s="0" t="str">
        <f aca="false">'CEO Data'!H14</f>
        <v>External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6" min="4" style="0" width="18"/>
  </cols>
  <sheetData>
    <row r="1" customFormat="false" ht="15" hidden="false" customHeight="false" outlineLevel="0" collapsed="false">
      <c r="A1" s="15" t="s">
        <v>5</v>
      </c>
      <c r="B1" s="15" t="s">
        <v>64</v>
      </c>
      <c r="D1" s="15" t="s">
        <v>9</v>
      </c>
      <c r="E1" s="15" t="s">
        <v>64</v>
      </c>
      <c r="F1" s="15" t="s">
        <v>65</v>
      </c>
    </row>
    <row r="2" customFormat="false" ht="15" hidden="false" customHeight="false" outlineLevel="0" collapsed="false">
      <c r="A2" s="16" t="s">
        <v>66</v>
      </c>
      <c r="B2" s="16" t="n">
        <f aca="false">COUNTIF('CEO Data'!D5:D14,"F")</f>
        <v>4</v>
      </c>
      <c r="D2" s="16" t="s">
        <v>17</v>
      </c>
      <c r="E2" s="16" t="n">
        <f aca="false">COUNTIF('CEO Data'!H5:H14,"Internal")</f>
        <v>7</v>
      </c>
      <c r="F2" s="16" t="n">
        <f aca="false">AVERAGEIF('CEO Data'!H5:H14,"Internal",'CEO Data'!I5:I14)</f>
        <v>11.1428571428571</v>
      </c>
    </row>
    <row r="3" customFormat="false" ht="15" hidden="false" customHeight="false" outlineLevel="0" collapsed="false">
      <c r="A3" s="16" t="s">
        <v>67</v>
      </c>
      <c r="B3" s="16" t="n">
        <f aca="false">COUNTIF('CEO Data'!D5:D14,"M")</f>
        <v>6</v>
      </c>
      <c r="D3" s="16" t="s">
        <v>41</v>
      </c>
      <c r="E3" s="16" t="n">
        <f aca="false">COUNTIF('CEO Data'!H5:H14,"External")</f>
        <v>3</v>
      </c>
      <c r="F3" s="16" t="n">
        <f aca="false">AVERAGEIF('CEO Data'!H5:H14,"External",'CEO Data'!I5:I14)</f>
        <v>-3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2026-06-10T22:40:51Z</dcterms:created>
  <dc:creator>openpyxl</dc:creator>
  <dc:description/>
  <dc:language>en-US</dc:language>
  <cp:lastModifiedBy/>
  <dcterms:modified xsi:type="dcterms:W3CDTF">2026-06-10T22:41:01Z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